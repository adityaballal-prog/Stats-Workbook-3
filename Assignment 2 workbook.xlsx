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BI\Downloads\"/>
    </mc:Choice>
  </mc:AlternateContent>
  <xr:revisionPtr revIDLastSave="0" documentId="13_ncr:1_{E4448004-04F0-4BE7-8F0A-20E0E57628A3}" xr6:coauthVersionLast="47" xr6:coauthVersionMax="47" xr10:uidLastSave="{00000000-0000-0000-0000-000000000000}"/>
  <bookViews>
    <workbookView xWindow="-110" yWindow="-110" windowWidth="19420" windowHeight="11020" activeTab="1" xr2:uid="{CC96DB36-C448-44A6-BBC6-6E4A1C43215D}"/>
  </bookViews>
  <sheets>
    <sheet name="Q3" sheetId="1" r:id="rId1"/>
    <sheet name="Q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2" l="1"/>
  <c r="G14" i="2"/>
  <c r="G13" i="2"/>
  <c r="G3" i="2"/>
  <c r="G4" i="2"/>
  <c r="G5" i="2"/>
  <c r="G6" i="2"/>
  <c r="G7" i="2"/>
  <c r="G8" i="2"/>
  <c r="G9" i="2"/>
  <c r="F3" i="2"/>
  <c r="F4" i="2"/>
  <c r="F5" i="2"/>
  <c r="F6" i="2"/>
  <c r="F7" i="2"/>
  <c r="F8" i="2"/>
  <c r="F9" i="2"/>
  <c r="E3" i="2"/>
  <c r="E4" i="2"/>
  <c r="E5" i="2"/>
  <c r="E6" i="2"/>
  <c r="E7" i="2"/>
  <c r="E8" i="2"/>
  <c r="E9" i="2"/>
  <c r="D3" i="2"/>
  <c r="D4" i="2"/>
  <c r="D5" i="2"/>
  <c r="D6" i="2"/>
  <c r="D7" i="2"/>
  <c r="D8" i="2"/>
  <c r="D9" i="2"/>
  <c r="D2" i="2"/>
  <c r="D10" i="2" s="1"/>
  <c r="E2" i="2"/>
  <c r="F2" i="2"/>
  <c r="G2" i="2"/>
  <c r="G10" i="2"/>
  <c r="B3" i="1"/>
  <c r="C3" i="1" s="1"/>
  <c r="B4" i="1"/>
  <c r="C4" i="1" s="1"/>
  <c r="B5" i="1"/>
  <c r="C5" i="1" s="1"/>
  <c r="B6" i="1"/>
  <c r="C6" i="1" s="1"/>
  <c r="B7" i="1"/>
  <c r="C7" i="1" s="1"/>
  <c r="G3" i="1"/>
  <c r="B2" i="1" s="1"/>
  <c r="C2" i="1" s="1"/>
  <c r="G2" i="1"/>
  <c r="G1" i="1"/>
  <c r="B11" i="1" l="1"/>
  <c r="C11" i="1" s="1"/>
  <c r="B10" i="1"/>
  <c r="C10" i="1" s="1"/>
  <c r="B9" i="1"/>
  <c r="C9" i="1" s="1"/>
  <c r="B8" i="1"/>
  <c r="C8" i="1" s="1"/>
  <c r="G4" i="1" s="1"/>
  <c r="G6" i="1" l="1"/>
  <c r="G8" i="1" s="1"/>
  <c r="G5" i="1"/>
  <c r="G7" i="1" s="1"/>
</calcChain>
</file>

<file path=xl/sharedStrings.xml><?xml version="1.0" encoding="utf-8"?>
<sst xmlns="http://schemas.openxmlformats.org/spreadsheetml/2006/main" count="32" uniqueCount="30">
  <si>
    <t>Data(x)</t>
  </si>
  <si>
    <t>(x - Mean)</t>
  </si>
  <si>
    <t>(x-Mean)^2</t>
  </si>
  <si>
    <t>Sum Sq Diff</t>
  </si>
  <si>
    <t>Pop Variance</t>
  </si>
  <si>
    <t>Sample Variance</t>
  </si>
  <si>
    <t>Pop Std Dev</t>
  </si>
  <si>
    <t>Sample Std Dev</t>
  </si>
  <si>
    <t>N</t>
  </si>
  <si>
    <t>Sum</t>
  </si>
  <si>
    <t>Mean</t>
  </si>
  <si>
    <t>Class Limits (A)</t>
  </si>
  <si>
    <t>Frequency (f) (B)</t>
  </si>
  <si>
    <t>Midpoint (x) (C)</t>
  </si>
  <si>
    <t>f*x (D)</t>
  </si>
  <si>
    <t>x - Mean (E)</t>
  </si>
  <si>
    <t>(x-Mean)^2 (F)</t>
  </si>
  <si>
    <t>f*(x-Mean)^2 (G)</t>
  </si>
  <si>
    <t>13-19</t>
  </si>
  <si>
    <t>20-26</t>
  </si>
  <si>
    <t>27-33</t>
  </si>
  <si>
    <t>34-40</t>
  </si>
  <si>
    <t>41-47</t>
  </si>
  <si>
    <t>48-54</t>
  </si>
  <si>
    <t>55-61</t>
  </si>
  <si>
    <t>62-68</t>
  </si>
  <si>
    <t>Total</t>
  </si>
  <si>
    <r>
      <t>=SUM(B2:B9)</t>
    </r>
    <r>
      <rPr>
        <sz val="11"/>
        <color rgb="FF1F1F1F"/>
        <rFont val="Aptos Narrow"/>
        <family val="2"/>
      </rPr>
      <t xml:space="preserve"> (n)</t>
    </r>
  </si>
  <si>
    <t>calculations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</si>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</sst>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1F1F1F"/>
      <name val="Aptos Narrow"/>
      <family val="2"/>
    </font>
    <font>
      <sz val="11"/>
      <color rgb="FF1F1F1F"/>
      <name val="Aptos Narrow"/>
      <family val="2"/>
    </font>
    <font>
      <sz val="10"/>
      <color rgb="FF444746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2" fillId="0" borderId="0" xfId="0" applyFont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4FCEF-8F5D-4A7F-89A8-BB0904BDA68B}">
  <dimension ref="A1:G11"/>
  <sheetViews>
    <sheetView workbookViewId="0">
      <selection activeCell="G10" sqref="G10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E1" t="s">
        <v>9</v>
      </c>
      <c r="G1">
        <f>SUM(A2:A11)</f>
        <v>326</v>
      </c>
    </row>
    <row r="2" spans="1:7" x14ac:dyDescent="0.35">
      <c r="A2">
        <v>5</v>
      </c>
      <c r="B2">
        <f t="shared" ref="B2:B11" si="0">A2-$G$3</f>
        <v>-27.6</v>
      </c>
      <c r="C2">
        <f>B2^2</f>
        <v>761.7600000000001</v>
      </c>
      <c r="E2" t="s">
        <v>8</v>
      </c>
      <c r="G2">
        <f>COUNT(A2:A11)</f>
        <v>10</v>
      </c>
    </row>
    <row r="3" spans="1:7" x14ac:dyDescent="0.35">
      <c r="A3">
        <v>31</v>
      </c>
      <c r="B3">
        <f t="shared" si="0"/>
        <v>-1.6000000000000014</v>
      </c>
      <c r="C3">
        <f t="shared" ref="C3:C11" si="1">B3^2</f>
        <v>2.5600000000000045</v>
      </c>
      <c r="E3" t="s">
        <v>10</v>
      </c>
      <c r="G3">
        <f>G1/G2</f>
        <v>32.6</v>
      </c>
    </row>
    <row r="4" spans="1:7" x14ac:dyDescent="0.35">
      <c r="A4">
        <v>6</v>
      </c>
      <c r="B4">
        <f t="shared" si="0"/>
        <v>-26.6</v>
      </c>
      <c r="C4">
        <f t="shared" si="1"/>
        <v>707.56000000000006</v>
      </c>
      <c r="E4" t="s">
        <v>3</v>
      </c>
      <c r="G4">
        <f>SUM(C2:C11)</f>
        <v>8378.4</v>
      </c>
    </row>
    <row r="5" spans="1:7" x14ac:dyDescent="0.35">
      <c r="A5">
        <v>83</v>
      </c>
      <c r="B5">
        <f t="shared" si="0"/>
        <v>50.4</v>
      </c>
      <c r="C5">
        <f t="shared" si="1"/>
        <v>2540.16</v>
      </c>
      <c r="E5" t="s">
        <v>4</v>
      </c>
      <c r="G5">
        <f>G4/G2</f>
        <v>837.83999999999992</v>
      </c>
    </row>
    <row r="6" spans="1:7" x14ac:dyDescent="0.35">
      <c r="A6">
        <v>67</v>
      </c>
      <c r="B6">
        <f t="shared" si="0"/>
        <v>34.4</v>
      </c>
      <c r="C6">
        <f t="shared" si="1"/>
        <v>1183.3599999999999</v>
      </c>
      <c r="E6" t="s">
        <v>5</v>
      </c>
      <c r="G6">
        <f>G4/(G2-1)</f>
        <v>930.93333333333328</v>
      </c>
    </row>
    <row r="7" spans="1:7" x14ac:dyDescent="0.35">
      <c r="A7">
        <v>23</v>
      </c>
      <c r="B7">
        <f t="shared" si="0"/>
        <v>-9.6000000000000014</v>
      </c>
      <c r="C7">
        <f t="shared" si="1"/>
        <v>92.160000000000025</v>
      </c>
      <c r="E7" t="s">
        <v>6</v>
      </c>
      <c r="G7">
        <f>SQRT(G5)</f>
        <v>28.945465966192355</v>
      </c>
    </row>
    <row r="8" spans="1:7" x14ac:dyDescent="0.35">
      <c r="A8">
        <v>74</v>
      </c>
      <c r="B8">
        <f t="shared" si="0"/>
        <v>41.4</v>
      </c>
      <c r="C8">
        <f t="shared" si="1"/>
        <v>1713.9599999999998</v>
      </c>
      <c r="E8" t="s">
        <v>7</v>
      </c>
      <c r="G8">
        <f>SQRT(G6)</f>
        <v>30.511200129351405</v>
      </c>
    </row>
    <row r="9" spans="1:7" x14ac:dyDescent="0.35">
      <c r="A9">
        <v>21</v>
      </c>
      <c r="B9">
        <f t="shared" si="0"/>
        <v>-11.600000000000001</v>
      </c>
      <c r="C9">
        <f t="shared" si="1"/>
        <v>134.56000000000003</v>
      </c>
    </row>
    <row r="10" spans="1:7" x14ac:dyDescent="0.35">
      <c r="A10">
        <v>12</v>
      </c>
      <c r="B10">
        <f t="shared" si="0"/>
        <v>-20.6</v>
      </c>
      <c r="C10">
        <f t="shared" si="1"/>
        <v>424.36000000000007</v>
      </c>
    </row>
    <row r="11" spans="1:7" x14ac:dyDescent="0.35">
      <c r="A11">
        <v>4</v>
      </c>
      <c r="B11">
        <f t="shared" si="0"/>
        <v>-28.6</v>
      </c>
      <c r="C11">
        <f t="shared" si="1"/>
        <v>817.96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CC46E-10FE-4855-B99C-2F999765D1A5}">
  <dimension ref="A1:G15"/>
  <sheetViews>
    <sheetView tabSelected="1" workbookViewId="0">
      <selection activeCell="F10" sqref="F10"/>
    </sheetView>
  </sheetViews>
  <sheetFormatPr defaultRowHeight="14.5" x14ac:dyDescent="0.35"/>
  <sheetData>
    <row r="1" spans="1:7" ht="44" thickBot="1" x14ac:dyDescent="0.4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ht="15" thickBot="1" x14ac:dyDescent="0.4">
      <c r="A2" s="2" t="s">
        <v>18</v>
      </c>
      <c r="B2" s="2">
        <v>2</v>
      </c>
      <c r="C2" s="2">
        <v>16</v>
      </c>
      <c r="D2" s="3">
        <f>B2*C2</f>
        <v>32</v>
      </c>
      <c r="E2" s="3">
        <f>C2-$J$1</f>
        <v>16</v>
      </c>
      <c r="F2" s="3">
        <f>E2^2</f>
        <v>256</v>
      </c>
      <c r="G2" s="3">
        <f>B2*F2</f>
        <v>512</v>
      </c>
    </row>
    <row r="3" spans="1:7" ht="15" thickBot="1" x14ac:dyDescent="0.4">
      <c r="A3" s="2" t="s">
        <v>19</v>
      </c>
      <c r="B3" s="2">
        <v>7</v>
      </c>
      <c r="C3" s="2">
        <v>23</v>
      </c>
      <c r="D3" s="3">
        <f t="shared" ref="D3:D9" si="0">B3*C3</f>
        <v>161</v>
      </c>
      <c r="E3" s="3">
        <f t="shared" ref="E3:E9" si="1">C3-$J$1</f>
        <v>23</v>
      </c>
      <c r="F3" s="3">
        <f t="shared" ref="F3:F9" si="2">E3^2</f>
        <v>529</v>
      </c>
      <c r="G3" s="3">
        <f t="shared" ref="G3:G9" si="3">B3*F3</f>
        <v>3703</v>
      </c>
    </row>
    <row r="4" spans="1:7" ht="15" thickBot="1" x14ac:dyDescent="0.4">
      <c r="A4" s="2" t="s">
        <v>20</v>
      </c>
      <c r="B4" s="2">
        <v>12</v>
      </c>
      <c r="C4" s="2">
        <v>30</v>
      </c>
      <c r="D4" s="3">
        <f t="shared" si="0"/>
        <v>360</v>
      </c>
      <c r="E4" s="3">
        <f t="shared" si="1"/>
        <v>30</v>
      </c>
      <c r="F4" s="3">
        <f t="shared" si="2"/>
        <v>900</v>
      </c>
      <c r="G4" s="3">
        <f t="shared" si="3"/>
        <v>10800</v>
      </c>
    </row>
    <row r="5" spans="1:7" ht="15" thickBot="1" x14ac:dyDescent="0.4">
      <c r="A5" s="2" t="s">
        <v>21</v>
      </c>
      <c r="B5" s="2">
        <v>5</v>
      </c>
      <c r="C5" s="2">
        <v>37</v>
      </c>
      <c r="D5" s="3">
        <f t="shared" si="0"/>
        <v>185</v>
      </c>
      <c r="E5" s="3">
        <f t="shared" si="1"/>
        <v>37</v>
      </c>
      <c r="F5" s="3">
        <f t="shared" si="2"/>
        <v>1369</v>
      </c>
      <c r="G5" s="3">
        <f t="shared" si="3"/>
        <v>6845</v>
      </c>
    </row>
    <row r="6" spans="1:7" ht="15" thickBot="1" x14ac:dyDescent="0.4">
      <c r="A6" s="2" t="s">
        <v>22</v>
      </c>
      <c r="B6" s="2">
        <v>6</v>
      </c>
      <c r="C6" s="2">
        <v>44</v>
      </c>
      <c r="D6" s="3">
        <f t="shared" si="0"/>
        <v>264</v>
      </c>
      <c r="E6" s="3">
        <f t="shared" si="1"/>
        <v>44</v>
      </c>
      <c r="F6" s="3">
        <f t="shared" si="2"/>
        <v>1936</v>
      </c>
      <c r="G6" s="3">
        <f t="shared" si="3"/>
        <v>11616</v>
      </c>
    </row>
    <row r="7" spans="1:7" ht="15" thickBot="1" x14ac:dyDescent="0.4">
      <c r="A7" s="2" t="s">
        <v>23</v>
      </c>
      <c r="B7" s="2">
        <v>1</v>
      </c>
      <c r="C7" s="2">
        <v>51</v>
      </c>
      <c r="D7" s="3">
        <f t="shared" si="0"/>
        <v>51</v>
      </c>
      <c r="E7" s="3">
        <f t="shared" si="1"/>
        <v>51</v>
      </c>
      <c r="F7" s="3">
        <f t="shared" si="2"/>
        <v>2601</v>
      </c>
      <c r="G7" s="3">
        <f t="shared" si="3"/>
        <v>2601</v>
      </c>
    </row>
    <row r="8" spans="1:7" ht="15" thickBot="1" x14ac:dyDescent="0.4">
      <c r="A8" s="2" t="s">
        <v>24</v>
      </c>
      <c r="B8" s="2">
        <v>0</v>
      </c>
      <c r="C8" s="2">
        <v>58</v>
      </c>
      <c r="D8" s="3">
        <f t="shared" si="0"/>
        <v>0</v>
      </c>
      <c r="E8" s="3">
        <f t="shared" si="1"/>
        <v>58</v>
      </c>
      <c r="F8" s="3">
        <f t="shared" si="2"/>
        <v>3364</v>
      </c>
      <c r="G8" s="3">
        <f t="shared" si="3"/>
        <v>0</v>
      </c>
    </row>
    <row r="9" spans="1:7" ht="15" thickBot="1" x14ac:dyDescent="0.4">
      <c r="A9" s="2" t="s">
        <v>25</v>
      </c>
      <c r="B9" s="2">
        <v>2</v>
      </c>
      <c r="C9" s="2">
        <v>65</v>
      </c>
      <c r="D9" s="3">
        <f t="shared" si="0"/>
        <v>130</v>
      </c>
      <c r="E9" s="3">
        <f t="shared" si="1"/>
        <v>65</v>
      </c>
      <c r="F9" s="3">
        <f t="shared" si="2"/>
        <v>4225</v>
      </c>
      <c r="G9" s="3">
        <f t="shared" si="3"/>
        <v>8450</v>
      </c>
    </row>
    <row r="10" spans="1:7" ht="28" thickBot="1" x14ac:dyDescent="0.4">
      <c r="A10" s="1" t="s">
        <v>26</v>
      </c>
      <c r="B10" s="3" t="s">
        <v>27</v>
      </c>
      <c r="C10" s="2"/>
      <c r="D10" s="3">
        <f>SUM(D2:D9)</f>
        <v>1183</v>
      </c>
      <c r="E10" s="2"/>
      <c r="F10" s="2"/>
      <c r="G10" s="3">
        <f>SUM(G2:G9)</f>
        <v>44527</v>
      </c>
    </row>
    <row r="12" spans="1:7" ht="29" x14ac:dyDescent="0.35">
      <c r="A12" s="4" t="s">
        <v>28</v>
      </c>
    </row>
    <row r="13" spans="1:7" x14ac:dyDescent="0.35">
      <c r="F13" t="s">
        <v>29</v>
      </c>
      <c r="G13">
        <f>SUM(D2:D9) / SUM(B2:B9)</f>
        <v>33.799999999999997</v>
      </c>
    </row>
    <row r="14" spans="1:7" x14ac:dyDescent="0.35">
      <c r="F14" t="s">
        <v>5</v>
      </c>
      <c r="G14">
        <f>SUM(G2:G9) / (SUM(B2:B9) - 1)</f>
        <v>1309.6176470588234</v>
      </c>
    </row>
    <row r="15" spans="1:7" x14ac:dyDescent="0.35">
      <c r="F15" t="s">
        <v>7</v>
      </c>
      <c r="G15">
        <f>SQRT(1309.618)</f>
        <v>36.188644627838713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Q3</vt:lpstr>
      <vt:lpstr>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Ballal</dc:creator>
  <cp:lastModifiedBy>Anisa Shaikh</cp:lastModifiedBy>
  <dcterms:created xsi:type="dcterms:W3CDTF">2026-01-21T14:31:07Z</dcterms:created>
  <dcterms:modified xsi:type="dcterms:W3CDTF">2026-01-22T05:11:02Z</dcterms:modified>
</cp:coreProperties>
</file>