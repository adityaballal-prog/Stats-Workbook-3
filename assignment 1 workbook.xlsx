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BI\Downloads\"/>
    </mc:Choice>
  </mc:AlternateContent>
  <xr:revisionPtr revIDLastSave="0" documentId="13_ncr:1_{01B69AEB-DC1D-421B-B74F-255E6F9F67EC}" xr6:coauthVersionLast="47" xr6:coauthVersionMax="47" xr10:uidLastSave="{00000000-0000-0000-0000-000000000000}"/>
  <bookViews>
    <workbookView xWindow="-110" yWindow="-110" windowWidth="19420" windowHeight="11020" activeTab="1" xr2:uid="{7DB98A52-E03B-4753-82D0-CB2A3F6AA70C}"/>
  </bookViews>
  <sheets>
    <sheet name="Q3" sheetId="1" r:id="rId1"/>
    <sheet name="Q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2" l="1"/>
  <c r="E13" i="2" a="1"/>
  <c r="E13" i="2"/>
  <c r="E12" i="2"/>
  <c r="E11" i="2"/>
  <c r="E7" i="2"/>
  <c r="E6" i="2"/>
  <c r="E5" i="2"/>
  <c r="E4" i="2"/>
  <c r="D11" i="1"/>
  <c r="D10" i="1"/>
  <c r="D9" i="1"/>
  <c r="D8" i="1"/>
  <c r="D7" i="1"/>
  <c r="D6" i="1"/>
  <c r="D5" i="1"/>
  <c r="D4" i="1"/>
  <c r="D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<sst xmlns="http://schemas.openxmlformats.org/spreadsheetml/2006/main" count="20" uniqueCount="13">
  <si>
    <t>Data</t>
  </si>
  <si>
    <t>median</t>
  </si>
  <si>
    <t xml:space="preserve">mean </t>
  </si>
  <si>
    <t>mode</t>
  </si>
  <si>
    <t>min</t>
  </si>
  <si>
    <t>max</t>
  </si>
  <si>
    <t>range</t>
  </si>
  <si>
    <t>mid range</t>
  </si>
  <si>
    <t>pop. Variance</t>
  </si>
  <si>
    <t>pop. Std. dev.</t>
  </si>
  <si>
    <t>2004 Formula</t>
  </si>
  <si>
    <t>mean</t>
  </si>
  <si>
    <t>1990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</si>
</sst>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1E522-4D5C-4E38-A717-6BF8C5966B1D}">
  <dimension ref="A1:D16"/>
  <sheetViews>
    <sheetView workbookViewId="0">
      <selection activeCell="F13" sqref="F13"/>
    </sheetView>
  </sheetViews>
  <sheetFormatPr defaultRowHeight="14.5" x14ac:dyDescent="0.35"/>
  <sheetData>
    <row r="1" spans="1:4" x14ac:dyDescent="0.35">
      <c r="A1" t="s">
        <v>0</v>
      </c>
    </row>
    <row r="2" spans="1:4" x14ac:dyDescent="0.35">
      <c r="A2">
        <v>12</v>
      </c>
    </row>
    <row r="3" spans="1:4" x14ac:dyDescent="0.35">
      <c r="A3">
        <v>23</v>
      </c>
      <c r="C3" t="s">
        <v>2</v>
      </c>
      <c r="D3">
        <f>AVERAGE(A2:A16)</f>
        <v>33.333333333333336</v>
      </c>
    </row>
    <row r="4" spans="1:4" x14ac:dyDescent="0.35">
      <c r="A4">
        <v>45</v>
      </c>
      <c r="C4" t="s">
        <v>1</v>
      </c>
      <c r="D4">
        <f>MEDIAN(A2:A16)</f>
        <v>23</v>
      </c>
    </row>
    <row r="5" spans="1:4" x14ac:dyDescent="0.35">
      <c r="A5">
        <v>65</v>
      </c>
      <c r="C5" t="s">
        <v>3</v>
      </c>
      <c r="D5">
        <f>_xlfn.MODE.SNGL(A2:A16)</f>
        <v>23</v>
      </c>
    </row>
    <row r="6" spans="1:4" x14ac:dyDescent="0.35">
      <c r="A6">
        <v>34</v>
      </c>
      <c r="C6" t="s">
        <v>4</v>
      </c>
      <c r="D6">
        <f>MIN(A2:A16)</f>
        <v>10</v>
      </c>
    </row>
    <row r="7" spans="1:4" x14ac:dyDescent="0.35">
      <c r="A7">
        <v>23</v>
      </c>
      <c r="C7" t="s">
        <v>5</v>
      </c>
      <c r="D7">
        <f>MAX(A2:A16)</f>
        <v>83</v>
      </c>
    </row>
    <row r="8" spans="1:4" x14ac:dyDescent="0.35">
      <c r="A8">
        <v>12</v>
      </c>
      <c r="C8" t="s">
        <v>6</v>
      </c>
      <c r="D8">
        <f>MAX(A2:A16)-MIN(A2:A16)</f>
        <v>73</v>
      </c>
    </row>
    <row r="9" spans="1:4" x14ac:dyDescent="0.35">
      <c r="A9">
        <v>10</v>
      </c>
      <c r="C9" t="s">
        <v>7</v>
      </c>
      <c r="D9">
        <f>(MAX(A2:A16)+MIN(A2:A16))/2</f>
        <v>46.5</v>
      </c>
    </row>
    <row r="10" spans="1:4" x14ac:dyDescent="0.35">
      <c r="A10">
        <v>83</v>
      </c>
      <c r="C10" t="s">
        <v>8</v>
      </c>
      <c r="D10">
        <f>_xlfn.VAR.P(A2:A16)</f>
        <v>446.48888888888888</v>
      </c>
    </row>
    <row r="11" spans="1:4" x14ac:dyDescent="0.35">
      <c r="A11">
        <v>28</v>
      </c>
      <c r="C11" t="s">
        <v>9</v>
      </c>
      <c r="D11">
        <f>_xlfn.STDEV.P(A2:A16)</f>
        <v>21.130283691632936</v>
      </c>
    </row>
    <row r="12" spans="1:4" x14ac:dyDescent="0.35">
      <c r="A12">
        <v>65</v>
      </c>
    </row>
    <row r="13" spans="1:4" x14ac:dyDescent="0.35">
      <c r="A13">
        <v>34</v>
      </c>
    </row>
    <row r="14" spans="1:4" x14ac:dyDescent="0.35">
      <c r="A14">
        <v>23</v>
      </c>
    </row>
    <row r="15" spans="1:4" x14ac:dyDescent="0.35">
      <c r="A15">
        <v>20</v>
      </c>
    </row>
    <row r="16" spans="1:4" x14ac:dyDescent="0.35">
      <c r="A16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B379A-ED83-43D6-9D6A-F6AD140367A7}">
  <dimension ref="A1:E25"/>
  <sheetViews>
    <sheetView tabSelected="1" workbookViewId="0">
      <selection activeCell="G22" sqref="G22"/>
    </sheetView>
  </sheetViews>
  <sheetFormatPr defaultRowHeight="14.5" x14ac:dyDescent="0.35"/>
  <sheetData>
    <row r="1" spans="1:5" x14ac:dyDescent="0.35">
      <c r="A1">
        <v>2004</v>
      </c>
      <c r="B1">
        <v>1990</v>
      </c>
    </row>
    <row r="2" spans="1:5" x14ac:dyDescent="0.35">
      <c r="A2">
        <v>11270</v>
      </c>
      <c r="B2">
        <v>13374</v>
      </c>
    </row>
    <row r="3" spans="1:5" x14ac:dyDescent="0.35">
      <c r="A3">
        <v>8220</v>
      </c>
      <c r="B3">
        <v>9278</v>
      </c>
      <c r="D3" t="s">
        <v>10</v>
      </c>
    </row>
    <row r="4" spans="1:5" x14ac:dyDescent="0.35">
      <c r="A4">
        <v>5463</v>
      </c>
      <c r="B4">
        <v>6113</v>
      </c>
      <c r="D4" t="s">
        <v>11</v>
      </c>
      <c r="E4">
        <f>AVERAGE(A2:A25)</f>
        <v>8421.1666666666661</v>
      </c>
    </row>
    <row r="5" spans="1:5" x14ac:dyDescent="0.35">
      <c r="A5">
        <v>8739</v>
      </c>
      <c r="B5">
        <v>9229</v>
      </c>
      <c r="D5" t="s">
        <v>1</v>
      </c>
      <c r="E5">
        <f>MEDIAN(A2:A25)</f>
        <v>8197</v>
      </c>
    </row>
    <row r="6" spans="1:5" x14ac:dyDescent="0.35">
      <c r="A6">
        <v>6199</v>
      </c>
      <c r="B6">
        <v>10687</v>
      </c>
      <c r="D6" t="s">
        <v>3</v>
      </c>
      <c r="E6" t="e">
        <f>MODE(A2:A25)</f>
        <v>#N/A</v>
      </c>
    </row>
    <row r="7" spans="1:5" x14ac:dyDescent="0.35">
      <c r="A7">
        <v>10309</v>
      </c>
      <c r="B7">
        <v>11221</v>
      </c>
      <c r="D7" t="s">
        <v>7</v>
      </c>
      <c r="E7">
        <f>(MAX(A2:A25)+MIN(A2:A25))/2</f>
        <v>9984.5</v>
      </c>
    </row>
    <row r="8" spans="1:5" x14ac:dyDescent="0.35">
      <c r="A8">
        <v>9964</v>
      </c>
      <c r="B8">
        <v>10823</v>
      </c>
    </row>
    <row r="9" spans="1:5" x14ac:dyDescent="0.35">
      <c r="A9">
        <v>14340</v>
      </c>
      <c r="B9">
        <v>14292</v>
      </c>
    </row>
    <row r="10" spans="1:5" x14ac:dyDescent="0.35">
      <c r="A10">
        <v>8825</v>
      </c>
      <c r="B10">
        <v>9200</v>
      </c>
      <c r="D10" t="s">
        <v>12</v>
      </c>
    </row>
    <row r="11" spans="1:5" x14ac:dyDescent="0.35">
      <c r="A11">
        <v>5132</v>
      </c>
      <c r="B11">
        <v>4768</v>
      </c>
      <c r="D11" t="s">
        <v>11</v>
      </c>
      <c r="E11">
        <f>AVERAGE(B2:B25)</f>
        <v>9810</v>
      </c>
    </row>
    <row r="12" spans="1:5" x14ac:dyDescent="0.35">
      <c r="A12">
        <v>8174</v>
      </c>
      <c r="B12">
        <v>9656</v>
      </c>
      <c r="D12" t="s">
        <v>1</v>
      </c>
      <c r="E12">
        <f>MEDIAN(B2:B25)</f>
        <v>9214.5</v>
      </c>
    </row>
    <row r="13" spans="1:5" x14ac:dyDescent="0.35">
      <c r="A13">
        <v>5282</v>
      </c>
      <c r="B13">
        <v>21923</v>
      </c>
      <c r="D13" t="s">
        <v>3</v>
      </c>
      <c r="E13" t="e" cm="1">
        <f t="array" ref="E13">_xlfn.MODE.MULT(B2:B25)</f>
        <v>#N/A</v>
      </c>
    </row>
    <row r="14" spans="1:5" x14ac:dyDescent="0.35">
      <c r="A14">
        <v>5307</v>
      </c>
      <c r="B14">
        <v>5319</v>
      </c>
      <c r="D14" t="s">
        <v>7</v>
      </c>
      <c r="E14">
        <f>(MAX(B2:B25)+MIN(B2:B25))/2</f>
        <v>13345.5</v>
      </c>
    </row>
    <row r="15" spans="1:5" x14ac:dyDescent="0.35">
      <c r="A15">
        <v>14925</v>
      </c>
      <c r="B15">
        <v>15174</v>
      </c>
    </row>
    <row r="16" spans="1:5" x14ac:dyDescent="0.35">
      <c r="A16">
        <v>14849</v>
      </c>
      <c r="B16">
        <v>15864</v>
      </c>
    </row>
    <row r="17" spans="1:2" x14ac:dyDescent="0.35">
      <c r="A17">
        <v>5707</v>
      </c>
      <c r="B17">
        <v>5748</v>
      </c>
    </row>
    <row r="18" spans="1:2" x14ac:dyDescent="0.35">
      <c r="A18">
        <v>7439</v>
      </c>
      <c r="B18">
        <v>8133</v>
      </c>
    </row>
    <row r="19" spans="1:2" x14ac:dyDescent="0.35">
      <c r="A19">
        <v>8395</v>
      </c>
      <c r="B19">
        <v>9135</v>
      </c>
    </row>
    <row r="20" spans="1:2" x14ac:dyDescent="0.35">
      <c r="A20">
        <v>5044</v>
      </c>
      <c r="B20">
        <v>5784</v>
      </c>
    </row>
    <row r="21" spans="1:2" x14ac:dyDescent="0.35">
      <c r="A21">
        <v>7869</v>
      </c>
      <c r="B21">
        <v>8286</v>
      </c>
    </row>
    <row r="22" spans="1:2" x14ac:dyDescent="0.35">
      <c r="A22">
        <v>10493</v>
      </c>
      <c r="B22">
        <v>9126</v>
      </c>
    </row>
    <row r="23" spans="1:2" x14ac:dyDescent="0.35">
      <c r="A23">
        <v>8397</v>
      </c>
      <c r="B23">
        <v>9901</v>
      </c>
    </row>
    <row r="24" spans="1:2" x14ac:dyDescent="0.35">
      <c r="A24">
        <v>5094</v>
      </c>
      <c r="B24">
        <v>5445</v>
      </c>
    </row>
    <row r="25" spans="1:2" x14ac:dyDescent="0.35">
      <c r="A25">
        <v>6672</v>
      </c>
      <c r="B25">
        <v>6961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Q3</vt:lpstr>
      <vt:lpstr>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ballal</dc:creator>
  <cp:lastModifiedBy>Anisa Shaikh</cp:lastModifiedBy>
  <dcterms:created xsi:type="dcterms:W3CDTF">2026-01-21T14:03:22Z</dcterms:created>
  <dcterms:modified xsi:type="dcterms:W3CDTF">2026-01-22T05:10:22Z</dcterms:modified>
</cp:coreProperties>
</file>